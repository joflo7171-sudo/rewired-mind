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Required_SDE" sheetId="2" state="visible" r:id="rId2"/>
    <sheet xmlns:r="http://schemas.openxmlformats.org/officeDocument/2006/relationships" name="Capital_Tiers" sheetId="3" state="visible" r:id="rId3"/>
    <sheet xmlns:r="http://schemas.openxmlformats.org/officeDocument/2006/relationships" name="Lead_Evaluator" sheetId="4" state="visible" r:id="rId4"/>
    <sheet xmlns:r="http://schemas.openxmlformats.org/officeDocument/2006/relationships" name="Due_Dilig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top" wrapText="1"/>
    </xf>
    <xf numFmtId="3" fontId="0" fillId="3" borderId="0" pivotButton="0" quotePrefix="0" xfId="0"/>
    <xf numFmtId="164" fontId="0" fillId="3" borderId="0" pivotButton="0" quotePrefix="0" xfId="0"/>
    <xf numFmtId="3" fontId="0" fillId="0" borderId="0" pivotButton="0" quotePrefix="0" xfId="0"/>
    <xf numFmtId="165" fontId="0" fillId="3" borderId="0" pivotButton="0" quotePrefix="0" xfId="0"/>
    <xf numFmtId="1" fontId="0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3" borderId="0" pivotButton="0" quotePrefix="0" xfId="0"/>
    <xf numFmtId="0" fontId="0" fillId="3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80" customWidth="1" min="5" max="5"/>
  </cols>
  <sheetData>
    <row r="1">
      <c r="A1" s="1" t="inlineStr">
        <is>
          <t>Single-business model: what does the owner actually keep? (ASSUMPTIONS - yellow cells editable)</t>
        </is>
      </c>
    </row>
    <row r="3">
      <c r="A3" s="2" t="inlineStr">
        <is>
          <t>Line</t>
        </is>
      </c>
      <c r="B3" s="2" t="inlineStr">
        <is>
          <t>Conservative</t>
        </is>
      </c>
      <c r="C3" s="2" t="inlineStr">
        <is>
          <t>Base</t>
        </is>
      </c>
      <c r="D3" s="2" t="inlineStr">
        <is>
          <t>Optimistic</t>
        </is>
      </c>
      <c r="E3" s="2" t="inlineStr">
        <is>
          <t>Note</t>
        </is>
      </c>
    </row>
    <row r="4">
      <c r="A4" t="inlineStr">
        <is>
          <t>Seller-reported SDE / cash flow ($/yr)</t>
        </is>
      </c>
      <c r="B4" s="3" t="n">
        <v>300000</v>
      </c>
      <c r="C4" s="3" t="n">
        <v>300000</v>
      </c>
      <c r="D4" s="3" t="n">
        <v>300000</v>
      </c>
      <c r="E4" t="inlineStr">
        <is>
          <t>Seller claim. NOT verified.</t>
        </is>
      </c>
    </row>
    <row r="5">
      <c r="A5" t="inlineStr">
        <is>
          <t>Haircut after quality-of-earnings review</t>
        </is>
      </c>
      <c r="B5" s="4" t="n">
        <v>0.15</v>
      </c>
      <c r="C5" s="4" t="n">
        <v>0.05</v>
      </c>
      <c r="D5" s="4" t="n">
        <v>0</v>
      </c>
      <c r="E5" t="inlineStr">
        <is>
          <t>Add-backs, owner pay, one-offs, cash-basis issues.</t>
        </is>
      </c>
    </row>
    <row r="6">
      <c r="A6" t="inlineStr">
        <is>
          <t>Verified SDE ($/yr)</t>
        </is>
      </c>
      <c r="B6" s="5">
        <f>B4*(1-B5)</f>
        <v/>
      </c>
      <c r="C6" s="5">
        <f>C4*(1-C5)</f>
        <v/>
      </c>
      <c r="D6" s="5">
        <f>D4*(1-D5)</f>
        <v/>
      </c>
      <c r="E6" t="inlineStr"/>
    </row>
    <row r="7">
      <c r="A7" t="inlineStr">
        <is>
          <t>Purchase multiple of seller SDE</t>
        </is>
      </c>
      <c r="B7" s="6" t="n">
        <v>3.5</v>
      </c>
      <c r="C7" s="6" t="n">
        <v>3</v>
      </c>
      <c r="D7" s="6" t="n">
        <v>2.6</v>
      </c>
      <c r="E7" t="inlineStr">
        <is>
          <t>BizBuySell Q2-2026 avg cash-flow multiple ~2.7x (all sizes); managed/larger deals price higher.</t>
        </is>
      </c>
    </row>
    <row r="8">
      <c r="A8" t="inlineStr">
        <is>
          <t>Purchase price ($)</t>
        </is>
      </c>
      <c r="B8" s="5">
        <f>B4*B7</f>
        <v/>
      </c>
      <c r="C8" s="5">
        <f>C4*C7</f>
        <v/>
      </c>
      <c r="D8" s="5">
        <f>D4*D7</f>
        <v/>
      </c>
      <c r="E8" t="inlineStr">
        <is>
          <t>Price is set off the seller's number.</t>
        </is>
      </c>
    </row>
    <row r="9">
      <c r="A9" t="inlineStr">
        <is>
          <t>Replacement manager - loaded cost ($/yr)</t>
        </is>
      </c>
      <c r="B9" s="3" t="n">
        <v>120000</v>
      </c>
      <c r="C9" s="3" t="n">
        <v>100000</v>
      </c>
      <c r="D9" s="3" t="n">
        <v>85000</v>
      </c>
      <c r="E9" t="inlineStr">
        <is>
          <t>BLS general/ops manager median ~$105.8k (May 2025); + ~20% burden for real GM.</t>
        </is>
      </c>
    </row>
    <row r="10">
      <c r="A10" t="inlineStr">
        <is>
          <t>Is manager already inside SDE? (1=yes, 0=no)</t>
        </is>
      </c>
      <c r="B10" s="7" t="n">
        <v>0</v>
      </c>
      <c r="C10" s="7" t="n">
        <v>0</v>
      </c>
      <c r="D10" s="7" t="n">
        <v>1</v>
      </c>
      <c r="E10" t="inlineStr">
        <is>
          <t>SDE normally ADDS BACK owner pay. If a manager already runs it, cost may already be deducted. Verify.</t>
        </is>
      </c>
    </row>
    <row r="11">
      <c r="A11" t="inlineStr">
        <is>
          <t>Capex / working-capital reserve (% of verified SDE)</t>
        </is>
      </c>
      <c r="B11" s="4" t="n">
        <v>0.08</v>
      </c>
      <c r="C11" s="4" t="n">
        <v>0.05</v>
      </c>
      <c r="D11" s="4" t="n">
        <v>0.03</v>
      </c>
      <c r="E11" t="inlineStr"/>
    </row>
    <row r="12">
      <c r="A12" t="inlineStr">
        <is>
          <t>Cash down incl. closing &amp; working capital (% of price)</t>
        </is>
      </c>
      <c r="B12" s="4" t="n">
        <v>0.25</v>
      </c>
      <c r="C12" s="4" t="n">
        <v>0.2</v>
      </c>
      <c r="D12" s="4" t="n">
        <v>0.12</v>
      </c>
      <c r="E12" t="inlineStr">
        <is>
          <t>SBA SOP 50 10 8 requires &gt;=10% cash injection on acquisitions.</t>
        </is>
      </c>
    </row>
    <row r="13">
      <c r="A13" t="inlineStr">
        <is>
          <t>Loan interest rate</t>
        </is>
      </c>
      <c r="B13" s="4" t="n">
        <v>0.105</v>
      </c>
      <c r="C13" s="4" t="n">
        <v>0.1025</v>
      </c>
      <c r="D13" s="4" t="n">
        <v>0.1</v>
      </c>
      <c r="E13" t="inlineStr">
        <is>
          <t>SBA 7(a) variable cap = prime(7.0%) + 3.0% for &gt;$350k (NerdWallet Sep-2026 table). Verify with lender.</t>
        </is>
      </c>
    </row>
    <row r="14">
      <c r="A14" t="inlineStr">
        <is>
          <t>Loan term (years)</t>
        </is>
      </c>
      <c r="B14" s="7" t="n">
        <v>10</v>
      </c>
      <c r="C14" s="7" t="n">
        <v>10</v>
      </c>
      <c r="D14" s="7" t="n">
        <v>10</v>
      </c>
      <c r="E14" t="inlineStr"/>
    </row>
    <row r="15">
      <c r="A15" t="inlineStr">
        <is>
          <t>Owner cash invested ($)</t>
        </is>
      </c>
      <c r="B15" s="5">
        <f>B8*B12</f>
        <v/>
      </c>
      <c r="C15" s="5">
        <f>C8*C12</f>
        <v/>
      </c>
      <c r="D15" s="5">
        <f>D8*D12</f>
        <v/>
      </c>
      <c r="E15" t="inlineStr"/>
    </row>
    <row r="16">
      <c r="A16" t="inlineStr">
        <is>
          <t>Loan amount ($)</t>
        </is>
      </c>
      <c r="B16" s="5">
        <f>B8-B15</f>
        <v/>
      </c>
      <c r="C16" s="5">
        <f>C8-C15</f>
        <v/>
      </c>
      <c r="D16" s="5">
        <f>D8-D15</f>
        <v/>
      </c>
      <c r="E16" t="inlineStr">
        <is>
          <t>Not assumed approvable - lender decides.</t>
        </is>
      </c>
    </row>
    <row r="17">
      <c r="A17" t="inlineStr">
        <is>
          <t>Annual debt service ($)</t>
        </is>
      </c>
      <c r="B17" s="5">
        <f>-PMT(B13/12,B14*12,B16)*12</f>
        <v/>
      </c>
      <c r="C17" s="5">
        <f>-PMT(C13/12,C14*12,C16)*12</f>
        <v/>
      </c>
      <c r="D17" s="5">
        <f>-PMT(D13/12,D14*12,D16)*12</f>
        <v/>
      </c>
      <c r="E17" t="inlineStr"/>
    </row>
    <row r="18">
      <c r="A18" t="inlineStr">
        <is>
          <t>Operating profit before manager ($/yr)</t>
        </is>
      </c>
      <c r="B18" s="5">
        <f>B6-B11*B6</f>
        <v/>
      </c>
      <c r="C18" s="5">
        <f>C6-C11*C6</f>
        <v/>
      </c>
      <c r="D18" s="5">
        <f>D6-D11*D6</f>
        <v/>
      </c>
      <c r="E18" t="inlineStr">
        <is>
          <t>Verified SDE less reserve.</t>
        </is>
      </c>
    </row>
    <row r="19">
      <c r="A19" t="inlineStr">
        <is>
          <t>Profit after paying manager ($/yr)</t>
        </is>
      </c>
      <c r="B19" s="5">
        <f>B18-B9*(1-B10)</f>
        <v/>
      </c>
      <c r="C19" s="5">
        <f>C18-C9*(1-C10)</f>
        <v/>
      </c>
      <c r="D19" s="5">
        <f>D18-D9*(1-D10)</f>
        <v/>
      </c>
      <c r="E19" t="inlineStr"/>
    </row>
    <row r="20">
      <c r="A20" t="inlineStr">
        <is>
          <t>Cash after debt service ($/yr)</t>
        </is>
      </c>
      <c r="B20" s="5">
        <f>B19-B17</f>
        <v/>
      </c>
      <c r="C20" s="5">
        <f>C19-C17</f>
        <v/>
      </c>
      <c r="D20" s="5">
        <f>D19-D17</f>
        <v/>
      </c>
      <c r="E20" t="inlineStr">
        <is>
          <t>Pre-tax distributable cash.</t>
        </is>
      </c>
    </row>
    <row r="21">
      <c r="A21" t="inlineStr">
        <is>
          <t xml:space="preserve">  per month ($)</t>
        </is>
      </c>
      <c r="B21" s="5">
        <f>B20/12</f>
        <v/>
      </c>
      <c r="C21" s="5">
        <f>C20/12</f>
        <v/>
      </c>
      <c r="D21" s="5">
        <f>D20/12</f>
        <v/>
      </c>
      <c r="E21" t="inlineStr">
        <is>
          <t>Target in brief: $12,000</t>
        </is>
      </c>
    </row>
    <row r="22">
      <c r="A22" t="inlineStr">
        <is>
          <t>Est. taxable income ($)</t>
        </is>
      </c>
      <c r="B22" s="5">
        <f>B19-B16*B13-B8/15*0.9</f>
        <v/>
      </c>
      <c r="C22" s="5">
        <f>C19-C16*C13-C8/15*0.9</f>
        <v/>
      </c>
      <c r="D22" s="5">
        <f>D19-D16*D13-D8/15*0.9</f>
        <v/>
      </c>
      <c r="E22" t="inlineStr">
        <is>
          <t>Less interest and ~15-yr goodwill amortisation on 90% of price (simplified).</t>
        </is>
      </c>
    </row>
    <row r="23">
      <c r="A23" t="inlineStr">
        <is>
          <t>Blended tax rate (assumption)</t>
        </is>
      </c>
      <c r="B23" s="4" t="n">
        <v>0.3</v>
      </c>
      <c r="C23" s="4" t="n">
        <v>0.3</v>
      </c>
      <c r="D23" s="4" t="n">
        <v>0.3</v>
      </c>
      <c r="E23" t="inlineStr">
        <is>
          <t>Fed+state+SE mix varies. Not tax advice.</t>
        </is>
      </c>
    </row>
    <row r="24">
      <c r="A24" t="inlineStr">
        <is>
          <t>Est. tax ($)</t>
        </is>
      </c>
      <c r="B24" s="5">
        <f>MAX(0,B22)*B23</f>
        <v/>
      </c>
      <c r="C24" s="5">
        <f>MAX(0,C22)*C23</f>
        <v/>
      </c>
      <c r="D24" s="5">
        <f>MAX(0,D22)*D23</f>
        <v/>
      </c>
      <c r="E24" t="inlineStr"/>
    </row>
    <row r="25">
      <c r="A25" t="inlineStr">
        <is>
          <t>Owner take-home after tax ($/yr)</t>
        </is>
      </c>
      <c r="B25" s="5">
        <f>B20-B24</f>
        <v/>
      </c>
      <c r="C25" s="5">
        <f>C20-C24</f>
        <v/>
      </c>
      <c r="D25" s="5">
        <f>D20-D24</f>
        <v/>
      </c>
      <c r="E25" t="inlineStr"/>
    </row>
    <row r="26">
      <c r="A26" t="inlineStr">
        <is>
          <t xml:space="preserve">  per month ($)</t>
        </is>
      </c>
      <c r="B26" s="5">
        <f>B25/12</f>
        <v/>
      </c>
      <c r="C26" s="5">
        <f>C25/12</f>
        <v/>
      </c>
      <c r="D26" s="5">
        <f>D25/12</f>
        <v/>
      </c>
      <c r="E26" t="inlineStr"/>
    </row>
    <row r="27">
      <c r="A27" t="inlineStr">
        <is>
          <t>Cash-on-cash return on owner cash</t>
        </is>
      </c>
      <c r="B27" s="8">
        <f>B25/B15</f>
        <v/>
      </c>
      <c r="C27" s="8">
        <f>C25/C15</f>
        <v/>
      </c>
      <c r="D27" s="8">
        <f>D25/D15</f>
        <v/>
      </c>
      <c r="E27" t="inlineStr"/>
    </row>
    <row r="28">
      <c r="A28" t="inlineStr">
        <is>
          <t>Debt service coverage (profit after mgr / debt)</t>
        </is>
      </c>
      <c r="B28" s="9">
        <f>B19/B17</f>
        <v/>
      </c>
      <c r="C28" s="9">
        <f>C19/C17</f>
        <v/>
      </c>
      <c r="D28" s="9">
        <f>D19/D17</f>
        <v/>
      </c>
      <c r="E28" t="inlineStr">
        <is>
          <t>Lenders typically want &gt;=1.25x; I did not verify each lender's floor.</t>
        </is>
      </c>
    </row>
    <row r="29">
      <c r="B29" s="5" t="n"/>
      <c r="C29" s="5" t="n"/>
      <c r="D29" s="5" t="n"/>
    </row>
    <row r="30">
      <c r="B30" s="5" t="n"/>
      <c r="C30" s="5" t="n"/>
      <c r="D3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18" customWidth="1" min="3" max="3"/>
    <col width="20" customWidth="1" min="4" max="4"/>
    <col width="16" customWidth="1" min="5" max="5"/>
    <col width="26" customWidth="1" min="6" max="6"/>
  </cols>
  <sheetData>
    <row r="1">
      <c r="A1" s="1" t="inlineStr">
        <is>
          <t>How big must the business be to leave $12,000/month cash AFTER manager + debt?</t>
        </is>
      </c>
    </row>
    <row r="2">
      <c r="A2" t="inlineStr">
        <is>
          <t>Closed form: SDE = (Target + Manager) / (1 - reserve% - multiple x (1-down%) x debt-factor). Manager assumed NOT inside SDE.</t>
        </is>
      </c>
    </row>
    <row r="4">
      <c r="A4" t="inlineStr">
        <is>
          <t>Target cash after manager &amp; debt ($/yr)</t>
        </is>
      </c>
      <c r="B4" s="3" t="n">
        <v>144000</v>
      </c>
    </row>
    <row r="5">
      <c r="A5" t="inlineStr">
        <is>
          <t>Manager loaded cost ($/yr)</t>
        </is>
      </c>
      <c r="B5" s="3" t="n">
        <v>100000</v>
      </c>
    </row>
    <row r="6">
      <c r="A6" t="inlineStr">
        <is>
          <t>Reserve % of SDE</t>
        </is>
      </c>
      <c r="B6" s="10" t="n">
        <v>0.05</v>
      </c>
    </row>
    <row r="7">
      <c r="A7" t="inlineStr">
        <is>
          <t>Down % of price</t>
        </is>
      </c>
      <c r="B7" s="10" t="n">
        <v>0.2</v>
      </c>
    </row>
    <row r="8">
      <c r="A8" t="inlineStr">
        <is>
          <t>Interest rate</t>
        </is>
      </c>
      <c r="B8" s="10" t="n">
        <v>0.1025</v>
      </c>
    </row>
    <row r="9">
      <c r="A9" t="inlineStr">
        <is>
          <t>Term (yrs)</t>
        </is>
      </c>
      <c r="B9" s="11" t="n">
        <v>10</v>
      </c>
    </row>
    <row r="10">
      <c r="A10" t="inlineStr">
        <is>
          <t>Annual debt factor per $1 borrowed</t>
        </is>
      </c>
      <c r="B10" s="12">
        <f>-PMT(B8/12,B9*12,1)*12</f>
        <v/>
      </c>
    </row>
    <row r="12">
      <c r="A12" s="2" t="inlineStr">
        <is>
          <t>Purchase multiple</t>
        </is>
      </c>
      <c r="B12" s="2" t="inlineStr">
        <is>
          <t>Required verified SDE ($/yr)</t>
        </is>
      </c>
      <c r="C12" s="2" t="inlineStr">
        <is>
          <t>Implied price ($)</t>
        </is>
      </c>
      <c r="D12" s="2" t="inlineStr">
        <is>
          <t>Owner cash needed ($)</t>
        </is>
      </c>
      <c r="E12" s="2" t="inlineStr">
        <is>
          <t>Loan ($)</t>
        </is>
      </c>
      <c r="F12" s="2" t="inlineStr">
        <is>
          <t>Check: cash after debt ($/yr)</t>
        </is>
      </c>
    </row>
    <row r="13">
      <c r="A13" s="11" t="n">
        <v>2</v>
      </c>
      <c r="B13" s="5">
        <f>($B$4+$B$5)/(1-$B$6-A13*(1-$B$7)*$B$10)</f>
        <v/>
      </c>
      <c r="C13" s="5">
        <f>B13*A13</f>
        <v/>
      </c>
      <c r="D13" s="5">
        <f>C13*$B$7</f>
        <v/>
      </c>
      <c r="E13" s="5">
        <f>C13-D13</f>
        <v/>
      </c>
      <c r="F13" s="5">
        <f>B13-$B$6*B13-$B$5-E13*$B$10</f>
        <v/>
      </c>
    </row>
    <row r="14">
      <c r="A14" s="11" t="n">
        <v>2.5</v>
      </c>
      <c r="B14" s="5">
        <f>($B$4+$B$5)/(1-$B$6-A14*(1-$B$7)*$B$10)</f>
        <v/>
      </c>
      <c r="C14" s="5">
        <f>B14*A14</f>
        <v/>
      </c>
      <c r="D14" s="5">
        <f>C14*$B$7</f>
        <v/>
      </c>
      <c r="E14" s="5">
        <f>C14-D14</f>
        <v/>
      </c>
      <c r="F14" s="5">
        <f>B14-$B$6*B14-$B$5-E14*$B$10</f>
        <v/>
      </c>
    </row>
    <row r="15">
      <c r="A15" s="11" t="n">
        <v>3</v>
      </c>
      <c r="B15" s="5">
        <f>($B$4+$B$5)/(1-$B$6-A15*(1-$B$7)*$B$10)</f>
        <v/>
      </c>
      <c r="C15" s="5">
        <f>B15*A15</f>
        <v/>
      </c>
      <c r="D15" s="5">
        <f>C15*$B$7</f>
        <v/>
      </c>
      <c r="E15" s="5">
        <f>C15-D15</f>
        <v/>
      </c>
      <c r="F15" s="5">
        <f>B15-$B$6*B15-$B$5-E15*$B$10</f>
        <v/>
      </c>
    </row>
    <row r="16">
      <c r="A16" s="11" t="n">
        <v>3.5</v>
      </c>
      <c r="B16" s="5">
        <f>($B$4+$B$5)/(1-$B$6-A16*(1-$B$7)*$B$10)</f>
        <v/>
      </c>
      <c r="C16" s="5">
        <f>B16*A16</f>
        <v/>
      </c>
      <c r="D16" s="5">
        <f>C16*$B$7</f>
        <v/>
      </c>
      <c r="E16" s="5">
        <f>C16-D16</f>
        <v/>
      </c>
      <c r="F16" s="5">
        <f>B16-$B$6*B16-$B$5-E16*$B$10</f>
        <v/>
      </c>
    </row>
    <row r="17">
      <c r="A17" s="11" t="n">
        <v>4</v>
      </c>
      <c r="B17" s="5">
        <f>($B$4+$B$5)/(1-$B$6-A17*(1-$B$7)*$B$10)</f>
        <v/>
      </c>
      <c r="C17" s="5">
        <f>B17*A17</f>
        <v/>
      </c>
      <c r="D17" s="5">
        <f>C17*$B$7</f>
        <v/>
      </c>
      <c r="E17" s="5">
        <f>C17-D17</f>
        <v/>
      </c>
      <c r="F17" s="5">
        <f>B17-$B$6*B17-$B$5-E17*$B$10</f>
        <v/>
      </c>
    </row>
    <row r="18">
      <c r="A18" s="11" t="n">
        <v>4.5</v>
      </c>
      <c r="B18" s="5">
        <f>($B$4+$B$5)/(1-$B$6-A18*(1-$B$7)*$B$10)</f>
        <v/>
      </c>
      <c r="C18" s="5">
        <f>B18*A18</f>
        <v/>
      </c>
      <c r="D18" s="5">
        <f>C18*$B$7</f>
        <v/>
      </c>
      <c r="E18" s="5">
        <f>C18-D18</f>
        <v/>
      </c>
      <c r="F18" s="5">
        <f>B18-$B$6*B18-$B$5-E18*$B$10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55" customWidth="1" min="3" max="3"/>
    <col width="55" customWidth="1" min="4" max="4"/>
  </cols>
  <sheetData>
    <row r="1">
      <c r="A1" s="2" t="inlineStr">
        <is>
          <t>Owner cash available</t>
        </is>
      </c>
      <c r="B1" s="2" t="inlineStr">
        <is>
          <t>What is realistically available</t>
        </is>
      </c>
      <c r="C1" s="2" t="inlineStr">
        <is>
          <t>What is NOT realistic</t>
        </is>
      </c>
      <c r="D1" s="2" t="inlineStr">
        <is>
          <t>Monthly cash it can plausibly produce (illustrative, pre-tax)</t>
        </is>
      </c>
    </row>
    <row r="2">
      <c r="A2" s="13" t="inlineStr">
        <is>
          <t>$0 - $10k</t>
        </is>
      </c>
      <c r="B2" s="13" t="inlineStr">
        <is>
          <t>Nothing that meets the brief. Only options: save, or sweat-equity (which you've ruled out).</t>
        </is>
      </c>
      <c r="C2" s="13" t="inlineStr">
        <is>
          <t>Buying any business; SBA loans (10% cash injection minimum); 'seller finance 100%' deals are rare and unverifiable.</t>
        </is>
      </c>
      <c r="D2" s="13" t="inlineStr">
        <is>
          <t>$0 owner-absent. Money invested at ~4-8% yields $30-$80/mo per $10k.</t>
        </is>
      </c>
    </row>
    <row r="3">
      <c r="A3" s="13" t="inlineStr">
        <is>
          <t>$10k - $50k</t>
        </is>
      </c>
      <c r="B3" s="13" t="inlineStr">
        <is>
          <t>Small online asset or tiny micro-SaaS purchase - but these are owner-operated at that size. Public index/dividend funds.</t>
        </is>
      </c>
      <c r="C3" s="13" t="inlineStr">
        <is>
          <t>A business that pays a manager AND debt. Anything 'managed' at this price is typically managed by the seller.</t>
        </is>
      </c>
      <c r="D3" s="13" t="inlineStr">
        <is>
          <t>&lt;$300/mo as an investor. As an owner you would be the operator.</t>
        </is>
      </c>
    </row>
    <row r="4">
      <c r="A4" s="13" t="inlineStr">
        <is>
          <t>$50k - $150k</t>
        </is>
      </c>
      <c r="B4" s="13" t="inlineStr">
        <is>
          <t>Down payment on a ~$250k-$750k small business via SBA 7(a) + seller note. Business has ~$80k-$250k SDE: enough for ONE owner-operator, not owner + manager + debt.</t>
        </is>
      </c>
      <c r="C4" s="13" t="inlineStr">
        <is>
          <t>A $12k/mo owner-absent outcome. After a ~$100k manager there is little left.</t>
        </is>
      </c>
      <c r="D4" s="13" t="inlineStr">
        <is>
          <t>Roughly $0-$4k/mo after manager and debt in the base case (see Scenarios).</t>
        </is>
      </c>
    </row>
    <row r="5">
      <c r="A5" s="13" t="inlineStr">
        <is>
          <t>$150k - $500k</t>
        </is>
      </c>
      <c r="B5" s="13" t="inlineStr">
        <is>
          <t>Down payment (15-25%) on a $1M-$2.5M business with $350k-$800k SDE and a real GM in place. First tier where the brief is mathematically possible.</t>
        </is>
      </c>
      <c r="C5" s="13" t="inlineStr">
        <is>
          <t>Buying with 100% leverage; assuming approval; tolerating a weak GM / key-man risk.</t>
        </is>
      </c>
      <c r="D5" s="13" t="inlineStr">
        <is>
          <t>Base case ~ $8k-$14k/mo pre-tax if verified SDE ~ $450k-$550k at ~3x. High variance.</t>
        </is>
      </c>
    </row>
    <row r="6">
      <c r="A6" s="13" t="inlineStr">
        <is>
          <t>$500k - $2M</t>
        </is>
      </c>
      <c r="B6" s="13" t="inlineStr">
        <is>
          <t>Buy 1-2 businesses outright or with low leverage; or buy a larger (~$1M+ EBITDA) company; or co-invest as limited partner with an operator.</t>
        </is>
      </c>
      <c r="C6" s="13" t="inlineStr">
        <is>
          <t>Treating it as passive: someone still must run it and you must monitor it.</t>
        </is>
      </c>
      <c r="D6" s="13" t="inlineStr">
        <is>
          <t>Low-leverage version of above; less risk of ruin, lower return on cash.</t>
        </is>
      </c>
    </row>
    <row r="7">
      <c r="A7" s="13" t="inlineStr">
        <is>
          <t>$2M+ (investment route, D)</t>
        </is>
      </c>
      <c r="B7" s="13" t="inlineStr">
        <is>
          <t>Professionally managed assets: public REITs/dividend funds (~3.5-6% yield per sources), private credit (7-12% claimed, default risk), direct real-estate with a property manager.</t>
        </is>
      </c>
      <c r="C7" s="13" t="inlineStr">
        <is>
          <t>'Guaranteed' income. Principal can fall; 'passive' funds still need your selection &amp; tax work.</t>
        </is>
      </c>
      <c r="D7" s="13" t="inlineStr">
        <is>
          <t>$12k/mo = $144k/yr needs ~$2.4M at 6%, ~$3.6M at 4%, ~$1.2-2.1M at 7-12% private-credit claims (higher loss risk).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6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70" customWidth="1" min="11" max="11"/>
  </cols>
  <sheetData>
    <row r="1">
      <c r="A1" s="1" t="inlineStr">
        <is>
          <t>Unverified leads from search-result snippets (not vetted, not contacted). Paste real listing numbers into yellow cells.</t>
        </is>
      </c>
    </row>
    <row r="3">
      <c r="A3" s="2" t="inlineStr">
        <is>
          <t>Lead</t>
        </is>
      </c>
      <c r="B3" s="2" t="inlineStr">
        <is>
          <t>Asking price</t>
        </is>
      </c>
      <c r="C3" s="2" t="inlineStr">
        <is>
          <t>Seller cash flow ($/yr)</t>
        </is>
      </c>
      <c r="D3" s="2" t="inlineStr">
        <is>
          <t>Manager cost already deducted? (1/0)</t>
        </is>
      </c>
      <c r="E3" s="2" t="inlineStr">
        <is>
          <t>Manager cost if not ($/yr)</t>
        </is>
      </c>
      <c r="F3" s="2" t="inlineStr">
        <is>
          <t>Multiple</t>
        </is>
      </c>
      <c r="G3" s="2" t="inlineStr">
        <is>
          <t>Cash flow after manager</t>
        </is>
      </c>
      <c r="H3" s="2" t="inlineStr">
        <is>
          <t>Debt service (80% @10.25%/10y)</t>
        </is>
      </c>
      <c r="I3" s="2" t="inlineStr">
        <is>
          <t>Cash after debt ($/yr)</t>
        </is>
      </c>
      <c r="J3" s="2" t="inlineStr">
        <is>
          <t>per month</t>
        </is>
      </c>
      <c r="K3" s="2" t="inlineStr">
        <is>
          <t>Status</t>
        </is>
      </c>
    </row>
    <row r="4">
      <c r="A4" t="inlineStr">
        <is>
          <t>Absentee liquor store, Cheshire CT (BizBuySell snippet)</t>
        </is>
      </c>
      <c r="B4" s="3" t="n">
        <v>860000</v>
      </c>
      <c r="C4" s="3" t="n">
        <v>200700</v>
      </c>
      <c r="D4" s="11" t="n">
        <v>0</v>
      </c>
      <c r="E4" s="3" t="n">
        <v>85000</v>
      </c>
      <c r="F4" s="9">
        <f>IF(AND(ISNUMBER(B4),ISNUMBER(C4)),B4/C4,"n/a")</f>
        <v/>
      </c>
      <c r="G4" s="5">
        <f>IF(ISNUMBER(C4),C4-IF(D4=1,0,E4),"n/a")</f>
        <v/>
      </c>
      <c r="H4" s="5">
        <f>IF(ISNUMBER(B4),-PMT(0.1025/12,120,B4*0.8)*12,"n/a")</f>
        <v/>
      </c>
      <c r="I4" s="5">
        <f>IF(AND(ISNUMBER(G4),ISNUMBER(H4)),G4-H4,"n/a")</f>
        <v/>
      </c>
      <c r="J4" s="5">
        <f>IF(ISNUMBER(I4),I4/12,"n/a")</f>
        <v/>
      </c>
      <c r="K4" t="inlineStr">
        <is>
          <t>Ask and cash flow from snippet only; manager treatment unknown.</t>
        </is>
      </c>
    </row>
    <row r="5">
      <c r="A5" t="inlineStr">
        <is>
          <t>Sacramento-area pizza franchise, manager ~$78-80k (BizBuySell snippet)</t>
        </is>
      </c>
      <c r="B5" s="3" t="n">
        <v>300000</v>
      </c>
      <c r="C5" s="3" t="n"/>
      <c r="D5" s="11" t="n">
        <v>1</v>
      </c>
      <c r="E5" s="3" t="n">
        <v>0</v>
      </c>
      <c r="F5" s="9">
        <f>IF(AND(ISNUMBER(B5),ISNUMBER(C5)),B5/C5,"n/a")</f>
        <v/>
      </c>
      <c r="G5" s="5">
        <f>IF(ISNUMBER(C5),C5-IF(D5=1,0,E5),"n/a")</f>
        <v/>
      </c>
      <c r="H5" s="5">
        <f>IF(ISNUMBER(B5),-PMT(0.1025/12,120,B5*0.8)*12,"n/a")</f>
        <v/>
      </c>
      <c r="I5" s="5">
        <f>IF(AND(ISNUMBER(G5),ISNUMBER(H5)),G5-H5,"n/a")</f>
        <v/>
      </c>
      <c r="J5" s="5">
        <f>IF(ISNUMBER(I5),I5/12,"n/a")</f>
        <v/>
      </c>
      <c r="K5" t="inlineStr">
        <is>
          <t>Cash flow not shown. Franchise fees/royalties and franchisor approval to check.</t>
        </is>
      </c>
    </row>
    <row r="6">
      <c r="A6" t="inlineStr">
        <is>
          <t>Queens NY burger shop, absentee w/ manager, ~$160k net (snippet)</t>
        </is>
      </c>
      <c r="B6" s="3" t="n"/>
      <c r="C6" s="3" t="n">
        <v>160000</v>
      </c>
      <c r="D6" s="11" t="n">
        <v>1</v>
      </c>
      <c r="E6" s="3" t="n">
        <v>0</v>
      </c>
      <c r="F6" s="9">
        <f>IF(AND(ISNUMBER(B6),ISNUMBER(C6)),B6/C6,"n/a")</f>
        <v/>
      </c>
      <c r="G6" s="5">
        <f>IF(ISNUMBER(C6),C6-IF(D6=1,0,E6),"n/a")</f>
        <v/>
      </c>
      <c r="H6" s="5">
        <f>IF(ISNUMBER(B6),-PMT(0.1025/12,120,B6*0.8)*12,"n/a")</f>
        <v/>
      </c>
      <c r="I6" s="5">
        <f>IF(AND(ISNUMBER(G6),ISNUMBER(H6)),G6-H6,"n/a")</f>
        <v/>
      </c>
      <c r="J6" s="5">
        <f>IF(ISNUMBER(I6),I6/12,"n/a")</f>
        <v/>
      </c>
      <c r="K6" t="inlineStr">
        <is>
          <t>Ask not shown.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70" customWidth="1" min="3" max="3"/>
  </cols>
  <sheetData>
    <row r="1">
      <c r="A1" s="2" t="inlineStr">
        <is>
          <t>Area</t>
        </is>
      </c>
      <c r="B1" s="2" t="inlineStr">
        <is>
          <t>Document / test</t>
        </is>
      </c>
      <c r="C1" s="2" t="inlineStr">
        <is>
          <t>Invalidates the deal if...</t>
        </is>
      </c>
    </row>
    <row r="2">
      <c r="A2" s="13" t="inlineStr">
        <is>
          <t>Earnings</t>
        </is>
      </c>
      <c r="B2" s="13" t="inlineStr">
        <is>
          <t>3 yrs federal tax returns (as filed) + P&amp;Ls + bank statements; independent quality-of-earnings (QoE)</t>
        </is>
      </c>
      <c r="C2" s="13" t="inlineStr">
        <is>
          <t>Tax returns and P&amp;L disagree by &gt;10% with no clean explanation; add-backs are mostly personal/undocumented.</t>
        </is>
      </c>
    </row>
    <row r="3">
      <c r="A3" s="13" t="inlineStr">
        <is>
          <t>Earnings</t>
        </is>
      </c>
      <c r="B3" s="13" t="inlineStr">
        <is>
          <t>Monthly bank deposits vs reported revenue; processor (Stripe/Square/PayPal) reports</t>
        </is>
      </c>
      <c r="C3" s="13" t="inlineStr">
        <is>
          <t>Deposits &lt; reported revenue, or heavy cash revenue that is not banked.</t>
        </is>
      </c>
    </row>
    <row r="4">
      <c r="A4" s="13" t="inlineStr">
        <is>
          <t>Owner dependence</t>
        </is>
      </c>
      <c r="B4" s="13" t="inlineStr">
        <is>
          <t>Seller's weekly calendar; who holds client/vendor relationships, licenses, keys, passwords</t>
        </is>
      </c>
      <c r="C4" s="13" t="inlineStr">
        <is>
          <t>Seller personally sells, services or supervises core work; customers name the seller as the reason they buy.</t>
        </is>
      </c>
    </row>
    <row r="5">
      <c r="A5" s="13" t="inlineStr">
        <is>
          <t>Management</t>
        </is>
      </c>
      <c r="B5" s="13" t="inlineStr">
        <is>
          <t>Org chart, W-2/1099 roster, tenure, pay, non-competes; interview GM (with seller consent)</t>
        </is>
      </c>
      <c r="C5" s="13" t="inlineStr">
        <is>
          <t>GM is a family member, underpaid vs market (will leave/need raise), or has no authority/bank access.</t>
        </is>
      </c>
    </row>
    <row r="6">
      <c r="A6" s="13" t="inlineStr">
        <is>
          <t>Management</t>
        </is>
      </c>
      <c r="B6" s="13" t="inlineStr">
        <is>
          <t>Replacement-cost quote: market salary for GM + bonus + burden</t>
        </is>
      </c>
      <c r="C6" s="13" t="inlineStr">
        <is>
          <t>Profit after market-rate GM is below ~1.5x debt service.</t>
        </is>
      </c>
    </row>
    <row r="7">
      <c r="A7" s="13" t="inlineStr">
        <is>
          <t>Customers</t>
        </is>
      </c>
      <c r="B7" s="13" t="inlineStr">
        <is>
          <t>Customer list by revenue (top 10), churn/cohort data, contract terms, refunds/chargebacks</t>
        </is>
      </c>
      <c r="C7" s="13" t="inlineStr">
        <is>
          <t>Any customer &gt;20% of revenue without contract; churn rising; refund rate high.</t>
        </is>
      </c>
    </row>
    <row r="8">
      <c r="A8" s="13" t="inlineStr">
        <is>
          <t>Operations</t>
        </is>
      </c>
      <c r="B8" s="13" t="inlineStr">
        <is>
          <t>SOPs, training docs, software/vendor contracts, equipment list and condition</t>
        </is>
      </c>
      <c r="C8" s="13" t="inlineStr">
        <is>
          <t>No documented procedures: tribal knowledge lives in seller's head.</t>
        </is>
      </c>
    </row>
    <row r="9">
      <c r="A9" s="13" t="inlineStr">
        <is>
          <t>Legal</t>
        </is>
      </c>
      <c r="B9" s="13" t="inlineStr">
        <is>
          <t>Entity docs, licenses, litigation search, liens (UCC), lease assignment, franchise approval</t>
        </is>
      </c>
      <c r="C9" s="13" t="inlineStr">
        <is>
          <t>Lease not assignable, license not transferable, active claims, franchisor refuses transfer.</t>
        </is>
      </c>
    </row>
    <row r="10">
      <c r="A10" s="13" t="inlineStr">
        <is>
          <t>Debt / structure</t>
        </is>
      </c>
      <c r="B10" s="13" t="inlineStr">
        <is>
          <t>Lender term sheet, DSCR calc, seller-note terms, earn-out clauses</t>
        </is>
      </c>
      <c r="C10" s="13" t="inlineStr">
        <is>
          <t>Financing is assumed rather than committed; DSCR &lt;1.25x after market GM.</t>
        </is>
      </c>
    </row>
    <row r="11">
      <c r="A11" s="13" t="inlineStr">
        <is>
          <t>Transition</t>
        </is>
      </c>
      <c r="B11" s="13" t="inlineStr">
        <is>
          <t>Seller transition period (60-180 days) &amp; non-compete agreement in writing</t>
        </is>
      </c>
      <c r="C11" s="13" t="inlineStr">
        <is>
          <t>Seller refuses transition/non-compete or wants to exit immediately.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2026-10-23T01:18:19Z</dcterms:created>
  <dcterms:modified xmlns:dcterms="http://purl.org/dc/terms/" xmlns:xsi="http://www.w3.org/2001/XMLSchema-instance" xsi:type="dcterms:W3CDTF">2026-10-23T01:18:19Z</dcterms:modified>
</cp:coreProperties>
</file>