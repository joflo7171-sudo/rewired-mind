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Unit economics" sheetId="2" state="visible" r:id="rId4"/>
    <sheet name="Targe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<sst xmlns="http://schemas.openxmlformats.org/spreadsheetml/2006/main" count="79" uniqueCount="61">
  <si>
    <t xml:space="preserve">ALL VALUES ARE ASSUMPTIONS TO BE TESTED - NOT RESULTS. Yellow = edit me.</t>
  </si>
  <si>
    <t xml:space="preserve">Variable</t>
  </si>
  <si>
    <t xml:space="preserve">Conservative</t>
  </si>
  <si>
    <t xml:space="preserve">Base</t>
  </si>
  <si>
    <t xml:space="preserve">Optimistic</t>
  </si>
  <si>
    <t xml:space="preserve">Note / status</t>
  </si>
  <si>
    <t xml:space="preserve">Retainer base fee ($/client/mo)</t>
  </si>
  <si>
    <t xml:space="preserve">Estimate. Vendor list prices seen: $297-$599/mo software/agency-lite; AR VA $1,000-2,500/mo. Test in discovery calls.</t>
  </si>
  <si>
    <t xml:space="preserve">New estimates sent per client per month</t>
  </si>
  <si>
    <t xml:space="preserve">Unverified. Collect from each prospect's own FSM data.</t>
  </si>
  <si>
    <t xml:space="preserve">Share of estimates that close AFTER our first touch</t>
  </si>
  <si>
    <t xml:space="preserve">Unverified. Vendor claims only (e.g. 20-30% recovery of unsold HVAC estimates, unsourced). This is THE number the pilot must measure.</t>
  </si>
  <si>
    <t xml:space="preserve">Average closed job value ($)</t>
  </si>
  <si>
    <t xml:space="preserve">Unverified placeholder. Replace with prospect's real average approved-estimate value.</t>
  </si>
  <si>
    <t xml:space="preserve">Commission rate on attributed closed+collected jobs</t>
  </si>
  <si>
    <t xml:space="preserve">Contract term, negotiable.</t>
  </si>
  <si>
    <t xml:space="preserve">Commission realization (disputes/uncollected/attribution fights)</t>
  </si>
  <si>
    <t xml:space="preserve">Assumption.</t>
  </si>
  <si>
    <t xml:space="preserve">Delivery hours per client per month</t>
  </si>
  <si>
    <t xml:space="preserve">Assumption: ~3-touch cadence per estimate + weekly report.</t>
  </si>
  <si>
    <t xml:space="preserve">Loaded hourly cost of delivery staff ($)</t>
  </si>
  <si>
    <t xml:space="preserve">Assumption (contractor/VA). Owner time NOT costed.</t>
  </si>
  <si>
    <t xml:space="preserve">Variable tools cost per client ($/mo: SMS, VoIP minutes)</t>
  </si>
  <si>
    <t xml:space="preserve">Management/QA overhead (% of revenue)</t>
  </si>
  <si>
    <t xml:space="preserve">Payment processing + credits/refunds (% of revenue)</t>
  </si>
  <si>
    <t xml:space="preserve">Assumption (~3% processing + ~3% credits).</t>
  </si>
  <si>
    <t xml:space="preserve">Fixed software &amp; operating expenses ($/mo)</t>
  </si>
  <si>
    <t xml:space="preserve">Assumption: CRM/spreadsheet, phone, email, bookkeeping, e-sign.</t>
  </si>
  <si>
    <t xml:space="preserve">Monthly client churn</t>
  </si>
  <si>
    <t xml:space="preserve">Assumption. Never assume zero.</t>
  </si>
  <si>
    <t xml:space="preserve">Cold contacts needed per pilot sold</t>
  </si>
  <si>
    <t xml:space="preserve">Assumption. Measure it.</t>
  </si>
  <si>
    <t xml:space="preserve">Pilot -&gt; retainer conversion</t>
  </si>
  <si>
    <t xml:space="preserve">Owner sales/QA minutes per cold contact</t>
  </si>
  <si>
    <t xml:space="preserve">Time cost, not cash.</t>
  </si>
  <si>
    <t xml:space="preserve">Estimated tax rate on profit (placeholder)</t>
  </si>
  <si>
    <t xml:space="preserve">Placeholder only; not tax advice. Ask a CPA.</t>
  </si>
  <si>
    <t xml:space="preserve">Pilot fixed fee ($)</t>
  </si>
  <si>
    <t xml:space="preserve">Proposed.</t>
  </si>
  <si>
    <t xml:space="preserve">Pilot delivery hours</t>
  </si>
  <si>
    <t xml:space="preserve">Assumption (backlog of unsold quotes + 30-day cadence).</t>
  </si>
  <si>
    <t xml:space="preserve">Per-client monthly economics (ESTIMATES)</t>
  </si>
  <si>
    <t xml:space="preserve">Base fee revenue</t>
  </si>
  <si>
    <t xml:space="preserve">Commission revenue (realized)</t>
  </si>
  <si>
    <t xml:space="preserve">Total revenue per client</t>
  </si>
  <si>
    <t xml:space="preserve">Direct labor</t>
  </si>
  <si>
    <t xml:space="preserve">Variable tools</t>
  </si>
  <si>
    <t xml:space="preserve">Mgmt/QA overhead</t>
  </si>
  <si>
    <t xml:space="preserve">Processing + credits</t>
  </si>
  <si>
    <t xml:space="preserve">Contribution per client</t>
  </si>
  <si>
    <t xml:space="preserve">Gross margin %</t>
  </si>
  <si>
    <t xml:space="preserve">Expected client lifetime (months) = 1/churn</t>
  </si>
  <si>
    <t xml:space="preserve">Lifetime contribution (LTV, before CAC)</t>
  </si>
  <si>
    <t xml:space="preserve">Cold contacts per retained client</t>
  </si>
  <si>
    <t xml:space="preserve">Owner sales hours per retained client (time cost)</t>
  </si>
  <si>
    <t xml:space="preserve">Pilot cash margin (fee - delivery cost; commission excluded)</t>
  </si>
  <si>
    <t xml:space="preserve">Clients needed for monthly OPERATING profit (before taxes). ESTIMATES.</t>
  </si>
  <si>
    <t xml:space="preserve">Target operating profit/mo</t>
  </si>
  <si>
    <t xml:space="preserve">Operating profit at N clients</t>
  </si>
  <si>
    <t xml:space="preserve">Owner take-home after placeholder tax at N clients</t>
  </si>
  <si>
    <t xml:space="preserve">Delivery hours/mo at N clients (capacity check; 1 FTE ~ 140 productive hrs)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</si>
</sst>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%"/>
    <numFmt numFmtId="167" formatCode="0.0"/>
    <numFmt numFmtId="168" formatCode="[$$-409]#,##0.00;[RED]\-[$$-409]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FFF2CC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4"/>
    <col collapsed="false" customWidth="true" hidden="false" outlineLevel="0" max="5" min="5" style="0" width="10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0" t="s">
        <v>6</v>
      </c>
      <c r="B3" s="3" t="n">
        <v>750</v>
      </c>
      <c r="C3" s="3" t="n">
        <v>900</v>
      </c>
      <c r="D3" s="3" t="n">
        <v>1000</v>
      </c>
      <c r="E3" s="4" t="s">
        <v>7</v>
      </c>
    </row>
    <row r="4" customFormat="false" ht="15" hidden="false" customHeight="false" outlineLevel="0" collapsed="false">
      <c r="A4" s="0" t="s">
        <v>8</v>
      </c>
      <c r="B4" s="3" t="n">
        <v>25</v>
      </c>
      <c r="C4" s="3" t="n">
        <v>35</v>
      </c>
      <c r="D4" s="3" t="n">
        <v>45</v>
      </c>
      <c r="E4" s="4" t="s">
        <v>9</v>
      </c>
    </row>
    <row r="5" customFormat="false" ht="15" hidden="false" customHeight="false" outlineLevel="0" collapsed="false">
      <c r="A5" s="0" t="s">
        <v>10</v>
      </c>
      <c r="B5" s="3" t="n">
        <v>0.05</v>
      </c>
      <c r="C5" s="3" t="n">
        <v>0.08</v>
      </c>
      <c r="D5" s="3" t="n">
        <v>0.12</v>
      </c>
      <c r="E5" s="4" t="s">
        <v>11</v>
      </c>
    </row>
    <row r="6" customFormat="false" ht="15" hidden="false" customHeight="false" outlineLevel="0" collapsed="false">
      <c r="A6" s="0" t="s">
        <v>12</v>
      </c>
      <c r="B6" s="3" t="n">
        <v>5000</v>
      </c>
      <c r="C6" s="3" t="n">
        <v>7000</v>
      </c>
      <c r="D6" s="3" t="n">
        <v>9000</v>
      </c>
      <c r="E6" s="4" t="s">
        <v>13</v>
      </c>
    </row>
    <row r="7" customFormat="false" ht="15" hidden="false" customHeight="false" outlineLevel="0" collapsed="false">
      <c r="A7" s="0" t="s">
        <v>14</v>
      </c>
      <c r="B7" s="3" t="n">
        <v>0.05</v>
      </c>
      <c r="C7" s="3" t="n">
        <v>0.05</v>
      </c>
      <c r="D7" s="3" t="n">
        <v>0.05</v>
      </c>
      <c r="E7" s="4" t="s">
        <v>15</v>
      </c>
    </row>
    <row r="8" customFormat="false" ht="15" hidden="false" customHeight="false" outlineLevel="0" collapsed="false">
      <c r="A8" s="0" t="s">
        <v>16</v>
      </c>
      <c r="B8" s="3" t="n">
        <v>0.7</v>
      </c>
      <c r="C8" s="3" t="n">
        <v>0.8</v>
      </c>
      <c r="D8" s="3" t="n">
        <v>0.9</v>
      </c>
      <c r="E8" s="4" t="s">
        <v>17</v>
      </c>
    </row>
    <row r="9" customFormat="false" ht="15" hidden="false" customHeight="false" outlineLevel="0" collapsed="false">
      <c r="A9" s="0" t="s">
        <v>18</v>
      </c>
      <c r="B9" s="3" t="n">
        <v>24</v>
      </c>
      <c r="C9" s="3" t="n">
        <v>16</v>
      </c>
      <c r="D9" s="3" t="n">
        <v>12</v>
      </c>
      <c r="E9" s="4" t="s">
        <v>19</v>
      </c>
    </row>
    <row r="10" customFormat="false" ht="15" hidden="false" customHeight="false" outlineLevel="0" collapsed="false">
      <c r="A10" s="0" t="s">
        <v>20</v>
      </c>
      <c r="B10" s="3" t="n">
        <v>28</v>
      </c>
      <c r="C10" s="3" t="n">
        <v>22</v>
      </c>
      <c r="D10" s="3" t="n">
        <v>18</v>
      </c>
      <c r="E10" s="4" t="s">
        <v>21</v>
      </c>
    </row>
    <row r="11" customFormat="false" ht="15" hidden="false" customHeight="false" outlineLevel="0" collapsed="false">
      <c r="A11" s="0" t="s">
        <v>22</v>
      </c>
      <c r="B11" s="3" t="n">
        <v>20</v>
      </c>
      <c r="C11" s="3" t="n">
        <v>20</v>
      </c>
      <c r="D11" s="3" t="n">
        <v>20</v>
      </c>
      <c r="E11" s="4" t="s">
        <v>17</v>
      </c>
    </row>
    <row r="12" customFormat="false" ht="15" hidden="false" customHeight="false" outlineLevel="0" collapsed="false">
      <c r="A12" s="0" t="s">
        <v>23</v>
      </c>
      <c r="B12" s="3" t="n">
        <v>0.08</v>
      </c>
      <c r="C12" s="3" t="n">
        <v>0.08</v>
      </c>
      <c r="D12" s="3" t="n">
        <v>0.08</v>
      </c>
      <c r="E12" s="4" t="s">
        <v>17</v>
      </c>
    </row>
    <row r="13" customFormat="false" ht="15" hidden="false" customHeight="false" outlineLevel="0" collapsed="false">
      <c r="A13" s="0" t="s">
        <v>24</v>
      </c>
      <c r="B13" s="3" t="n">
        <v>0.06</v>
      </c>
      <c r="C13" s="3" t="n">
        <v>0.06</v>
      </c>
      <c r="D13" s="3" t="n">
        <v>0.06</v>
      </c>
      <c r="E13" s="4" t="s">
        <v>25</v>
      </c>
    </row>
    <row r="14" customFormat="false" ht="15" hidden="false" customHeight="false" outlineLevel="0" collapsed="false">
      <c r="A14" s="0" t="s">
        <v>26</v>
      </c>
      <c r="B14" s="3" t="n">
        <v>150</v>
      </c>
      <c r="C14" s="3" t="n">
        <v>150</v>
      </c>
      <c r="D14" s="3" t="n">
        <v>150</v>
      </c>
      <c r="E14" s="4" t="s">
        <v>27</v>
      </c>
    </row>
    <row r="15" customFormat="false" ht="15" hidden="false" customHeight="false" outlineLevel="0" collapsed="false">
      <c r="A15" s="0" t="s">
        <v>28</v>
      </c>
      <c r="B15" s="3" t="n">
        <v>0.08</v>
      </c>
      <c r="C15" s="3" t="n">
        <v>0.05</v>
      </c>
      <c r="D15" s="3" t="n">
        <v>0.03</v>
      </c>
      <c r="E15" s="4" t="s">
        <v>29</v>
      </c>
    </row>
    <row r="16" customFormat="false" ht="15" hidden="false" customHeight="false" outlineLevel="0" collapsed="false">
      <c r="A16" s="0" t="s">
        <v>30</v>
      </c>
      <c r="B16" s="3" t="n">
        <v>100</v>
      </c>
      <c r="C16" s="3" t="n">
        <v>40</v>
      </c>
      <c r="D16" s="3" t="n">
        <v>25</v>
      </c>
      <c r="E16" s="4" t="s">
        <v>31</v>
      </c>
    </row>
    <row r="17" customFormat="false" ht="15" hidden="false" customHeight="false" outlineLevel="0" collapsed="false">
      <c r="A17" s="0" t="s">
        <v>32</v>
      </c>
      <c r="B17" s="3" t="n">
        <v>0.25</v>
      </c>
      <c r="C17" s="3" t="n">
        <v>0.4</v>
      </c>
      <c r="D17" s="3" t="n">
        <v>0.55</v>
      </c>
      <c r="E17" s="4" t="s">
        <v>31</v>
      </c>
    </row>
    <row r="18" customFormat="false" ht="15" hidden="false" customHeight="false" outlineLevel="0" collapsed="false">
      <c r="A18" s="0" t="s">
        <v>33</v>
      </c>
      <c r="B18" s="3" t="n">
        <v>6</v>
      </c>
      <c r="C18" s="3" t="n">
        <v>6</v>
      </c>
      <c r="D18" s="3" t="n">
        <v>6</v>
      </c>
      <c r="E18" s="4" t="s">
        <v>34</v>
      </c>
    </row>
    <row r="19" customFormat="false" ht="15" hidden="false" customHeight="false" outlineLevel="0" collapsed="false">
      <c r="A19" s="0" t="s">
        <v>35</v>
      </c>
      <c r="B19" s="3" t="n">
        <v>0.3</v>
      </c>
      <c r="C19" s="3" t="n">
        <v>0.3</v>
      </c>
      <c r="D19" s="3" t="n">
        <v>0.3</v>
      </c>
      <c r="E19" s="4" t="s">
        <v>36</v>
      </c>
    </row>
    <row r="20" customFormat="false" ht="15" hidden="false" customHeight="false" outlineLevel="0" collapsed="false">
      <c r="A20" s="0" t="s">
        <v>37</v>
      </c>
      <c r="B20" s="3" t="n">
        <v>750</v>
      </c>
      <c r="C20" s="3" t="n">
        <v>750</v>
      </c>
      <c r="D20" s="3" t="n">
        <v>750</v>
      </c>
      <c r="E20" s="4" t="s">
        <v>38</v>
      </c>
    </row>
    <row r="21" customFormat="false" ht="15" hidden="false" customHeight="false" outlineLevel="0" collapsed="false">
      <c r="A21" s="0" t="s">
        <v>39</v>
      </c>
      <c r="B21" s="3" t="n">
        <v>30</v>
      </c>
      <c r="C21" s="3" t="n">
        <v>20</v>
      </c>
      <c r="D21" s="3" t="n">
        <v>15</v>
      </c>
      <c r="E21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2" t="s">
        <v>41</v>
      </c>
      <c r="B1" s="2" t="s">
        <v>2</v>
      </c>
      <c r="C1" s="2" t="s">
        <v>3</v>
      </c>
      <c r="D1" s="2" t="s">
        <v>4</v>
      </c>
    </row>
    <row r="2" customFormat="false" ht="15" hidden="false" customHeight="false" outlineLevel="0" collapsed="false">
      <c r="A2" s="0" t="s">
        <v>42</v>
      </c>
      <c r="B2" s="5" t="n">
        <f aca="false">Assumptions!B3</f>
        <v>750</v>
      </c>
      <c r="C2" s="5" t="n">
        <f aca="false">Assumptions!C3</f>
        <v>900</v>
      </c>
      <c r="D2" s="5" t="n">
        <f aca="false">Assumptions!D3</f>
        <v>1000</v>
      </c>
    </row>
    <row r="3" customFormat="false" ht="15" hidden="false" customHeight="false" outlineLevel="0" collapsed="false">
      <c r="A3" s="0" t="s">
        <v>43</v>
      </c>
      <c r="B3" s="5" t="n">
        <f aca="false">Assumptions!B4*Assumptions!B5*Assumptions!B6*Assumptions!B7*Assumptions!B8</f>
        <v>218.75</v>
      </c>
      <c r="C3" s="5" t="n">
        <f aca="false">Assumptions!C4*Assumptions!C5*Assumptions!C6*Assumptions!C7*Assumptions!C8</f>
        <v>784</v>
      </c>
      <c r="D3" s="5" t="n">
        <f aca="false">Assumptions!D4*Assumptions!D5*Assumptions!D6*Assumptions!D7*Assumptions!D8</f>
        <v>2187</v>
      </c>
    </row>
    <row r="4" customFormat="false" ht="15" hidden="false" customHeight="false" outlineLevel="0" collapsed="false">
      <c r="A4" s="0" t="s">
        <v>44</v>
      </c>
      <c r="B4" s="5" t="n">
        <f aca="false">B2+B3</f>
        <v>968.75</v>
      </c>
      <c r="C4" s="5" t="n">
        <f aca="false">C2+C3</f>
        <v>1684</v>
      </c>
      <c r="D4" s="5" t="n">
        <f aca="false">D2+D3</f>
        <v>3187</v>
      </c>
    </row>
    <row r="5" customFormat="false" ht="15" hidden="false" customHeight="false" outlineLevel="0" collapsed="false">
      <c r="A5" s="0" t="s">
        <v>45</v>
      </c>
      <c r="B5" s="5" t="n">
        <f aca="false">Assumptions!B9*Assumptions!B10</f>
        <v>672</v>
      </c>
      <c r="C5" s="5" t="n">
        <f aca="false">Assumptions!C9*Assumptions!C10</f>
        <v>352</v>
      </c>
      <c r="D5" s="5" t="n">
        <f aca="false">Assumptions!D9*Assumptions!D10</f>
        <v>216</v>
      </c>
    </row>
    <row r="6" customFormat="false" ht="15" hidden="false" customHeight="false" outlineLevel="0" collapsed="false">
      <c r="A6" s="0" t="s">
        <v>46</v>
      </c>
      <c r="B6" s="5" t="n">
        <f aca="false">Assumptions!B11</f>
        <v>20</v>
      </c>
      <c r="C6" s="5" t="n">
        <f aca="false">Assumptions!C11</f>
        <v>20</v>
      </c>
      <c r="D6" s="5" t="n">
        <f aca="false">Assumptions!D11</f>
        <v>20</v>
      </c>
    </row>
    <row r="7" customFormat="false" ht="15" hidden="false" customHeight="false" outlineLevel="0" collapsed="false">
      <c r="A7" s="0" t="s">
        <v>47</v>
      </c>
      <c r="B7" s="5" t="n">
        <f aca="false">B4*Assumptions!B12</f>
        <v>77.5</v>
      </c>
      <c r="C7" s="5" t="n">
        <f aca="false">C4*Assumptions!C12</f>
        <v>134.72</v>
      </c>
      <c r="D7" s="5" t="n">
        <f aca="false">D4*Assumptions!D12</f>
        <v>254.96</v>
      </c>
    </row>
    <row r="8" customFormat="false" ht="15" hidden="false" customHeight="false" outlineLevel="0" collapsed="false">
      <c r="A8" s="0" t="s">
        <v>48</v>
      </c>
      <c r="B8" s="5" t="n">
        <f aca="false">B4*Assumptions!B13</f>
        <v>58.125</v>
      </c>
      <c r="C8" s="5" t="n">
        <f aca="false">C4*Assumptions!C13</f>
        <v>101.04</v>
      </c>
      <c r="D8" s="5" t="n">
        <f aca="false">D4*Assumptions!D13</f>
        <v>191.22</v>
      </c>
    </row>
    <row r="9" customFormat="false" ht="15" hidden="false" customHeight="false" outlineLevel="0" collapsed="false">
      <c r="A9" s="0" t="s">
        <v>49</v>
      </c>
      <c r="B9" s="5" t="n">
        <f aca="false">B4-B5-B6-B7-B8</f>
        <v>141.125</v>
      </c>
      <c r="C9" s="5" t="n">
        <f aca="false">C4-C5-C6-C7-C8</f>
        <v>1076.24</v>
      </c>
      <c r="D9" s="5" t="n">
        <f aca="false">D4-D5-D6-D7-D8</f>
        <v>2504.82</v>
      </c>
    </row>
    <row r="10" customFormat="false" ht="15" hidden="false" customHeight="false" outlineLevel="0" collapsed="false">
      <c r="A10" s="0" t="s">
        <v>50</v>
      </c>
      <c r="B10" s="6" t="n">
        <f aca="false">IF(B4=0,0,B9/B4)</f>
        <v>0.145677419354839</v>
      </c>
      <c r="C10" s="6" t="n">
        <f aca="false">IF(C4=0,0,C9/C4)</f>
        <v>0.639097387173397</v>
      </c>
      <c r="D10" s="6" t="n">
        <f aca="false">IF(D4=0,0,D9/D4)</f>
        <v>0.785949168497019</v>
      </c>
    </row>
    <row r="11" customFormat="false" ht="15" hidden="false" customHeight="false" outlineLevel="0" collapsed="false">
      <c r="A11" s="0" t="s">
        <v>51</v>
      </c>
      <c r="B11" s="7" t="n">
        <f aca="false">1/Assumptions!B15</f>
        <v>12.5</v>
      </c>
      <c r="C11" s="7" t="n">
        <f aca="false">1/Assumptions!C15</f>
        <v>20</v>
      </c>
      <c r="D11" s="7" t="n">
        <f aca="false">1/Assumptions!D15</f>
        <v>33.3333333333333</v>
      </c>
    </row>
    <row r="12" customFormat="false" ht="15" hidden="false" customHeight="false" outlineLevel="0" collapsed="false">
      <c r="A12" s="0" t="s">
        <v>52</v>
      </c>
      <c r="B12" s="5" t="n">
        <f aca="false">B9*B11</f>
        <v>1764.0625</v>
      </c>
      <c r="C12" s="5" t="n">
        <f aca="false">C9*C11</f>
        <v>21524.8</v>
      </c>
      <c r="D12" s="5" t="n">
        <f aca="false">D9*D11</f>
        <v>83494</v>
      </c>
    </row>
    <row r="13" customFormat="false" ht="15" hidden="false" customHeight="false" outlineLevel="0" collapsed="false">
      <c r="A13" s="0" t="s">
        <v>53</v>
      </c>
      <c r="B13" s="7" t="n">
        <f aca="false">Assumptions!B16/Assumptions!B17</f>
        <v>400</v>
      </c>
      <c r="C13" s="7" t="n">
        <f aca="false">Assumptions!C16/Assumptions!C17</f>
        <v>100</v>
      </c>
      <c r="D13" s="7" t="n">
        <f aca="false">Assumptions!D16/Assumptions!D17</f>
        <v>45.4545454545455</v>
      </c>
    </row>
    <row r="14" customFormat="false" ht="15" hidden="false" customHeight="false" outlineLevel="0" collapsed="false">
      <c r="A14" s="0" t="s">
        <v>54</v>
      </c>
      <c r="B14" s="7" t="n">
        <f aca="false">B13*Assumptions!B18/60</f>
        <v>40</v>
      </c>
      <c r="C14" s="7" t="n">
        <f aca="false">C13*Assumptions!C18/60</f>
        <v>10</v>
      </c>
      <c r="D14" s="7" t="n">
        <f aca="false">D13*Assumptions!D18/60</f>
        <v>4.54545454545455</v>
      </c>
    </row>
    <row r="15" customFormat="false" ht="15" hidden="false" customHeight="false" outlineLevel="0" collapsed="false">
      <c r="A15" s="0" t="s">
        <v>55</v>
      </c>
      <c r="B15" s="5" t="n">
        <f aca="false">Assumptions!B20-Assumptions!B21*Assumptions!B10</f>
        <v>-90</v>
      </c>
      <c r="C15" s="5" t="n">
        <f aca="false">Assumptions!C20-Assumptions!C21*Assumptions!C10</f>
        <v>310</v>
      </c>
      <c r="D15" s="5" t="n">
        <f aca="false">Assumptions!D20-Assumptions!D21*Assumptions!D10</f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2" t="s">
        <v>56</v>
      </c>
      <c r="B1" s="2"/>
      <c r="C1" s="2"/>
      <c r="D1" s="2"/>
    </row>
    <row r="2" customFormat="false" ht="15" hidden="false" customHeight="false" outlineLevel="0" collapsed="false">
      <c r="A2" s="2" t="s">
        <v>57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0" t="n">
        <v>1000</v>
      </c>
      <c r="B3" s="0" t="n">
        <f aca="false">ROUNDUP(($A3+Assumptions!B14)/'Unit economics'!B9,0)</f>
        <v>9</v>
      </c>
      <c r="C3" s="0" t="n">
        <f aca="false">ROUNDUP(($A3+Assumptions!C14)/'Unit economics'!C9,0)</f>
        <v>2</v>
      </c>
      <c r="D3" s="0" t="n">
        <f aca="false">ROUNDUP(($A3+Assumptions!D14)/'Unit economics'!D9,0)</f>
        <v>1</v>
      </c>
    </row>
    <row r="4" customFormat="false" ht="15" hidden="false" customHeight="false" outlineLevel="0" collapsed="false">
      <c r="A4" s="0" t="n">
        <v>5000</v>
      </c>
      <c r="B4" s="0" t="n">
        <f aca="false">ROUNDUP(($A4+Assumptions!B14)/'Unit economics'!B9,0)</f>
        <v>37</v>
      </c>
      <c r="C4" s="0" t="n">
        <f aca="false">ROUNDUP(($A4+Assumptions!C14)/'Unit economics'!C9,0)</f>
        <v>5</v>
      </c>
      <c r="D4" s="0" t="n">
        <f aca="false">ROUNDUP(($A4+Assumptions!D14)/'Unit economics'!D9,0)</f>
        <v>3</v>
      </c>
    </row>
    <row r="5" customFormat="false" ht="15" hidden="false" customHeight="false" outlineLevel="0" collapsed="false">
      <c r="A5" s="0" t="n">
        <v>12000</v>
      </c>
      <c r="B5" s="0" t="n">
        <f aca="false">ROUNDUP(($A5+Assumptions!B14)/'Unit economics'!B9,0)</f>
        <v>87</v>
      </c>
      <c r="C5" s="0" t="n">
        <f aca="false">ROUNDUP(($A5+Assumptions!C14)/'Unit economics'!C9,0)</f>
        <v>12</v>
      </c>
      <c r="D5" s="0" t="n">
        <f aca="false">ROUNDUP(($A5+Assumptions!D14)/'Unit economics'!D9,0)</f>
        <v>5</v>
      </c>
    </row>
    <row r="7" customFormat="false" ht="15" hidden="false" customHeight="false" outlineLevel="0" collapsed="false">
      <c r="A7" s="2" t="s">
        <v>58</v>
      </c>
      <c r="B7" s="2" t="s">
        <v>2</v>
      </c>
      <c r="C7" s="2" t="s">
        <v>3</v>
      </c>
      <c r="D7" s="2" t="s">
        <v>4</v>
      </c>
    </row>
    <row r="8" customFormat="false" ht="15" hidden="false" customHeight="false" outlineLevel="0" collapsed="false">
      <c r="A8" s="0" t="n">
        <v>1</v>
      </c>
      <c r="B8" s="8" t="n">
        <f aca="false">$A8*'Unit economics'!B9-Assumptions!B14</f>
        <v>-8.875</v>
      </c>
      <c r="C8" s="8" t="n">
        <f aca="false">$A8*'Unit economics'!C9-Assumptions!C14</f>
        <v>926.24</v>
      </c>
      <c r="D8" s="8" t="n">
        <f aca="false">$A8*'Unit economics'!D9-Assumptions!D14</f>
        <v>2354.82</v>
      </c>
    </row>
    <row r="9" customFormat="false" ht="15" hidden="false" customHeight="false" outlineLevel="0" collapsed="false">
      <c r="A9" s="0" t="n">
        <v>3</v>
      </c>
      <c r="B9" s="8" t="n">
        <f aca="false">$A9*'Unit economics'!B9-Assumptions!B14</f>
        <v>273.375</v>
      </c>
      <c r="C9" s="8" t="n">
        <f aca="false">$A9*'Unit economics'!C9-Assumptions!C14</f>
        <v>3078.72</v>
      </c>
      <c r="D9" s="8" t="n">
        <f aca="false">$A9*'Unit economics'!D9-Assumptions!D14</f>
        <v>7364.46</v>
      </c>
    </row>
    <row r="10" customFormat="false" ht="15" hidden="false" customHeight="false" outlineLevel="0" collapsed="false">
      <c r="A10" s="0" t="n">
        <v>5</v>
      </c>
      <c r="B10" s="8" t="n">
        <f aca="false">$A10*'Unit economics'!B9-Assumptions!B14</f>
        <v>555.625</v>
      </c>
      <c r="C10" s="8" t="n">
        <f aca="false">$A10*'Unit economics'!C9-Assumptions!C14</f>
        <v>5231.2</v>
      </c>
      <c r="D10" s="8" t="n">
        <f aca="false">$A10*'Unit economics'!D9-Assumptions!D14</f>
        <v>12374.1</v>
      </c>
    </row>
    <row r="11" customFormat="false" ht="15" hidden="false" customHeight="false" outlineLevel="0" collapsed="false">
      <c r="A11" s="0" t="n">
        <v>10</v>
      </c>
      <c r="B11" s="8" t="n">
        <f aca="false">$A11*'Unit economics'!B9-Assumptions!B14</f>
        <v>1261.25</v>
      </c>
      <c r="C11" s="8" t="n">
        <f aca="false">$A11*'Unit economics'!C9-Assumptions!C14</f>
        <v>10612.4</v>
      </c>
      <c r="D11" s="8" t="n">
        <f aca="false">$A11*'Unit economics'!D9-Assumptions!D14</f>
        <v>24898.2</v>
      </c>
    </row>
    <row r="12" customFormat="false" ht="15" hidden="false" customHeight="false" outlineLevel="0" collapsed="false">
      <c r="A12" s="0" t="n">
        <v>15</v>
      </c>
      <c r="B12" s="8" t="n">
        <f aca="false">$A12*'Unit economics'!B9-Assumptions!B14</f>
        <v>1966.875</v>
      </c>
      <c r="C12" s="8" t="n">
        <f aca="false">$A12*'Unit economics'!C9-Assumptions!C14</f>
        <v>15993.6</v>
      </c>
      <c r="D12" s="8" t="n">
        <f aca="false">$A12*'Unit economics'!D9-Assumptions!D14</f>
        <v>37422.3</v>
      </c>
    </row>
    <row r="13" customFormat="false" ht="15" hidden="false" customHeight="false" outlineLevel="0" collapsed="false">
      <c r="A13" s="0" t="n">
        <v>20</v>
      </c>
      <c r="B13" s="8" t="n">
        <f aca="false">$A13*'Unit economics'!B9-Assumptions!B14</f>
        <v>2672.5</v>
      </c>
      <c r="C13" s="8" t="n">
        <f aca="false">$A13*'Unit economics'!C9-Assumptions!C14</f>
        <v>21374.8</v>
      </c>
      <c r="D13" s="8" t="n">
        <f aca="false">$A13*'Unit economics'!D9-Assumptions!D14</f>
        <v>49946.4</v>
      </c>
    </row>
    <row r="14" customFormat="false" ht="15" hidden="false" customHeight="false" outlineLevel="0" collapsed="false">
      <c r="A14" s="0" t="n">
        <v>30</v>
      </c>
      <c r="B14" s="8" t="n">
        <f aca="false">$A14*'Unit economics'!B9-Assumptions!B14</f>
        <v>4083.75</v>
      </c>
      <c r="C14" s="8" t="n">
        <f aca="false">$A14*'Unit economics'!C9-Assumptions!C14</f>
        <v>32137.2</v>
      </c>
      <c r="D14" s="8" t="n">
        <f aca="false">$A14*'Unit economics'!D9-Assumptions!D14</f>
        <v>74994.6</v>
      </c>
    </row>
    <row r="16" customFormat="false" ht="15" hidden="false" customHeight="false" outlineLevel="0" collapsed="false">
      <c r="A16" s="2" t="s">
        <v>59</v>
      </c>
      <c r="B16" s="2" t="s">
        <v>2</v>
      </c>
      <c r="C16" s="2" t="s">
        <v>3</v>
      </c>
      <c r="D16" s="2" t="s">
        <v>4</v>
      </c>
    </row>
    <row r="17" customFormat="false" ht="15" hidden="false" customHeight="false" outlineLevel="0" collapsed="false">
      <c r="A17" s="0" t="n">
        <v>1</v>
      </c>
      <c r="B17" s="0" t="n">
        <f aca="false">MAX(0,$A17*'Unit economics'!B9-Assumptions!B14)*(1-Assumptions!B19)</f>
        <v>0</v>
      </c>
      <c r="C17" s="0" t="n">
        <f aca="false">MAX(0,$A17*'Unit economics'!C9-Assumptions!C14)*(1-Assumptions!C19)</f>
        <v>648.368</v>
      </c>
      <c r="D17" s="0" t="n">
        <f aca="false">MAX(0,$A17*'Unit economics'!D9-Assumptions!D14)*(1-Assumptions!D19)</f>
        <v>1648.374</v>
      </c>
    </row>
    <row r="18" customFormat="false" ht="15" hidden="false" customHeight="false" outlineLevel="0" collapsed="false">
      <c r="A18" s="0" t="n">
        <v>3</v>
      </c>
      <c r="B18" s="0" t="n">
        <f aca="false">MAX(0,$A18*'Unit economics'!B9-Assumptions!B14)*(1-Assumptions!B19)</f>
        <v>191.3625</v>
      </c>
      <c r="C18" s="0" t="n">
        <f aca="false">MAX(0,$A18*'Unit economics'!C9-Assumptions!C14)*(1-Assumptions!C19)</f>
        <v>2155.104</v>
      </c>
      <c r="D18" s="0" t="n">
        <f aca="false">MAX(0,$A18*'Unit economics'!D9-Assumptions!D14)*(1-Assumptions!D19)</f>
        <v>5155.122</v>
      </c>
    </row>
    <row r="19" customFormat="false" ht="15" hidden="false" customHeight="false" outlineLevel="0" collapsed="false">
      <c r="A19" s="0" t="n">
        <v>5</v>
      </c>
      <c r="B19" s="0" t="n">
        <f aca="false">MAX(0,$A19*'Unit economics'!B9-Assumptions!B14)*(1-Assumptions!B19)</f>
        <v>388.9375</v>
      </c>
      <c r="C19" s="0" t="n">
        <f aca="false">MAX(0,$A19*'Unit economics'!C9-Assumptions!C14)*(1-Assumptions!C19)</f>
        <v>3661.84</v>
      </c>
      <c r="D19" s="0" t="n">
        <f aca="false">MAX(0,$A19*'Unit economics'!D9-Assumptions!D14)*(1-Assumptions!D19)</f>
        <v>8661.87</v>
      </c>
    </row>
    <row r="20" customFormat="false" ht="15" hidden="false" customHeight="false" outlineLevel="0" collapsed="false">
      <c r="A20" s="0" t="n">
        <v>10</v>
      </c>
      <c r="B20" s="0" t="n">
        <f aca="false">MAX(0,$A20*'Unit economics'!B9-Assumptions!B14)*(1-Assumptions!B19)</f>
        <v>882.875</v>
      </c>
      <c r="C20" s="0" t="n">
        <f aca="false">MAX(0,$A20*'Unit economics'!C9-Assumptions!C14)*(1-Assumptions!C19)</f>
        <v>7428.68</v>
      </c>
      <c r="D20" s="0" t="n">
        <f aca="false">MAX(0,$A20*'Unit economics'!D9-Assumptions!D14)*(1-Assumptions!D19)</f>
        <v>17428.74</v>
      </c>
    </row>
    <row r="21" customFormat="false" ht="15" hidden="false" customHeight="false" outlineLevel="0" collapsed="false">
      <c r="A21" s="0" t="n">
        <v>15</v>
      </c>
      <c r="B21" s="0" t="n">
        <f aca="false">MAX(0,$A21*'Unit economics'!B9-Assumptions!B14)*(1-Assumptions!B19)</f>
        <v>1376.8125</v>
      </c>
      <c r="C21" s="0" t="n">
        <f aca="false">MAX(0,$A21*'Unit economics'!C9-Assumptions!C14)*(1-Assumptions!C19)</f>
        <v>11195.52</v>
      </c>
      <c r="D21" s="0" t="n">
        <f aca="false">MAX(0,$A21*'Unit economics'!D9-Assumptions!D14)*(1-Assumptions!D19)</f>
        <v>26195.61</v>
      </c>
    </row>
    <row r="22" customFormat="false" ht="15" hidden="false" customHeight="false" outlineLevel="0" collapsed="false">
      <c r="A22" s="0" t="n">
        <v>20</v>
      </c>
      <c r="B22" s="0" t="n">
        <f aca="false">MAX(0,$A22*'Unit economics'!B9-Assumptions!B14)*(1-Assumptions!B19)</f>
        <v>1870.75</v>
      </c>
      <c r="C22" s="0" t="n">
        <f aca="false">MAX(0,$A22*'Unit economics'!C9-Assumptions!C14)*(1-Assumptions!C19)</f>
        <v>14962.36</v>
      </c>
      <c r="D22" s="0" t="n">
        <f aca="false">MAX(0,$A22*'Unit economics'!D9-Assumptions!D14)*(1-Assumptions!D19)</f>
        <v>34962.48</v>
      </c>
    </row>
    <row r="23" customFormat="false" ht="15" hidden="false" customHeight="false" outlineLevel="0" collapsed="false">
      <c r="A23" s="0" t="n">
        <v>30</v>
      </c>
      <c r="B23" s="0" t="n">
        <f aca="false">MAX(0,$A23*'Unit economics'!B9-Assumptions!B14)*(1-Assumptions!B19)</f>
        <v>2858.625</v>
      </c>
      <c r="C23" s="0" t="n">
        <f aca="false">MAX(0,$A23*'Unit economics'!C9-Assumptions!C14)*(1-Assumptions!C19)</f>
        <v>22496.04</v>
      </c>
      <c r="D23" s="0" t="n">
        <f aca="false">MAX(0,$A23*'Unit economics'!D9-Assumptions!D14)*(1-Assumptions!D19)</f>
        <v>52496.22</v>
      </c>
    </row>
    <row r="25" customFormat="false" ht="15" hidden="false" customHeight="false" outlineLevel="0" collapsed="false">
      <c r="A25" s="2" t="s">
        <v>60</v>
      </c>
      <c r="B25" s="2" t="s">
        <v>2</v>
      </c>
      <c r="C25" s="2" t="s">
        <v>3</v>
      </c>
      <c r="D25" s="2" t="s">
        <v>4</v>
      </c>
    </row>
    <row r="26" customFormat="false" ht="15" hidden="false" customHeight="false" outlineLevel="0" collapsed="false">
      <c r="A26" s="0" t="n">
        <v>5</v>
      </c>
      <c r="B26" s="0" t="n">
        <f aca="false">$A26*Assumptions!B9</f>
        <v>120</v>
      </c>
      <c r="C26" s="0" t="n">
        <f aca="false">$A26*Assumptions!C9</f>
        <v>80</v>
      </c>
      <c r="D26" s="0" t="n">
        <f aca="false">$A26*Assumptions!D9</f>
        <v>60</v>
      </c>
    </row>
    <row r="27" customFormat="false" ht="15" hidden="false" customHeight="false" outlineLevel="0" collapsed="false">
      <c r="A27" s="0" t="n">
        <v>10</v>
      </c>
      <c r="B27" s="0" t="n">
        <f aca="false">$A27*Assumptions!B9</f>
        <v>240</v>
      </c>
      <c r="C27" s="0" t="n">
        <f aca="false">$A27*Assumptions!C9</f>
        <v>160</v>
      </c>
      <c r="D27" s="0" t="n">
        <f aca="false">$A27*Assumptions!D9</f>
        <v>120</v>
      </c>
    </row>
    <row r="28" customFormat="false" ht="15" hidden="false" customHeight="false" outlineLevel="0" collapsed="false">
      <c r="A28" s="0" t="n">
        <v>20</v>
      </c>
      <c r="B28" s="0" t="n">
        <f aca="false">$A28*Assumptions!B9</f>
        <v>480</v>
      </c>
      <c r="C28" s="0" t="n">
        <f aca="false">$A28*Assumptions!C9</f>
        <v>320</v>
      </c>
      <c r="D28" s="0" t="n">
        <f aca="false">$A28*Assumptions!D9</f>
        <v>240</v>
      </c>
    </row>
    <row r="29" customFormat="false" ht="15" hidden="false" customHeight="false" outlineLevel="0" collapsed="false">
      <c r="A29" s="0" t="n">
        <v>30</v>
      </c>
      <c r="B29" s="0" t="n">
        <f aca="false">$A29*Assumptions!B9</f>
        <v>720</v>
      </c>
      <c r="C29" s="0" t="n">
        <f aca="false">$A29*Assumptions!C9</f>
        <v>480</v>
      </c>
      <c r="D29" s="0" t="n">
        <f aca="false">$A29*Assumptions!D9</f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2026-10-23T00:53:23Z</dcterms:created>
  <dc:creator>openpyxl</dc:creator>
  <dc:description/>
  <dc:language>en-US</dc:language>
  <cp:lastModifiedBy/>
  <dcterms:modified xsi:type="dcterms:W3CDTF">2026-10-23T00:53:23Z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